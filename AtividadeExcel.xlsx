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ownloads\Banco-Dados-prof.Celide-main\Banco-Dados-prof.Celide-main\"/>
    </mc:Choice>
  </mc:AlternateContent>
  <xr:revisionPtr revIDLastSave="0" documentId="8_{626E170D-6A78-453E-94E0-97F75959BB7A}" xr6:coauthVersionLast="47" xr6:coauthVersionMax="47" xr10:uidLastSave="{00000000-0000-0000-0000-000000000000}"/>
  <bookViews>
    <workbookView xWindow="-120" yWindow="-120" windowWidth="29040" windowHeight="15720" xr2:uid="{5E9D3933-ED4E-4D8C-9725-2728E3C6CC6B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" i="2" l="1"/>
  <c r="G20" i="2"/>
  <c r="I20" i="2" s="1"/>
  <c r="G19" i="2"/>
  <c r="I19" i="2" s="1"/>
  <c r="G18" i="2"/>
  <c r="I18" i="2" s="1"/>
  <c r="G17" i="2"/>
  <c r="G16" i="2"/>
  <c r="I16" i="2" s="1"/>
  <c r="G15" i="2"/>
  <c r="I15" i="2" s="1"/>
  <c r="G14" i="2"/>
  <c r="I14" i="2" s="1"/>
  <c r="G13" i="2"/>
  <c r="I13" i="2" s="1"/>
  <c r="G12" i="2"/>
  <c r="I12" i="2" s="1"/>
  <c r="G8" i="2"/>
  <c r="I8" i="2" s="1"/>
  <c r="G10" i="2"/>
  <c r="I10" i="2" s="1"/>
  <c r="G11" i="2"/>
  <c r="I11" i="2" s="1"/>
  <c r="G9" i="2"/>
  <c r="G7" i="2"/>
  <c r="I7" i="2" s="1"/>
  <c r="G6" i="2"/>
  <c r="I6" i="2" s="1"/>
  <c r="G5" i="2"/>
  <c r="I21" i="2"/>
  <c r="I17" i="2"/>
  <c r="I9" i="2"/>
  <c r="I4" i="2"/>
  <c r="I3" i="2"/>
  <c r="I2" i="2"/>
  <c r="H22" i="2"/>
  <c r="G4" i="2"/>
  <c r="G3" i="2"/>
  <c r="G2" i="2"/>
  <c r="D2" i="2" a="1"/>
  <c r="D2" i="2" s="1"/>
  <c r="K6" i="2" s="1"/>
  <c r="D8" i="1"/>
  <c r="L2" i="2" l="1"/>
  <c r="K2" i="2"/>
  <c r="I5" i="2"/>
  <c r="M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<sst xmlns="http://schemas.openxmlformats.org/spreadsheetml/2006/main" count="75" uniqueCount="70">
  <si>
    <t xml:space="preserve">Gênero </t>
  </si>
  <si>
    <t>Preço Pago</t>
  </si>
  <si>
    <t>Nota Esperada</t>
  </si>
  <si>
    <t>Jojo's Bizarre Adventure – Parte 7 – Steel Ball Run 02</t>
  </si>
  <si>
    <t>Nome do Livro</t>
  </si>
  <si>
    <t>Entendendo Algoritmos</t>
  </si>
  <si>
    <t>Computação e Informática</t>
  </si>
  <si>
    <t>A Linguagem de Programação Go</t>
  </si>
  <si>
    <t>Berserk vol. 2</t>
  </si>
  <si>
    <t>Editora</t>
  </si>
  <si>
    <t>Panini</t>
  </si>
  <si>
    <t>Novatec</t>
  </si>
  <si>
    <t>Gibi Japonês</t>
  </si>
  <si>
    <t>TOTAL:</t>
  </si>
  <si>
    <t>RM</t>
  </si>
  <si>
    <t>Sobrenome</t>
  </si>
  <si>
    <t>Nome</t>
  </si>
  <si>
    <t>Nome Completo</t>
  </si>
  <si>
    <t>Nota1</t>
  </si>
  <si>
    <t>Nota2</t>
  </si>
  <si>
    <t>Média</t>
  </si>
  <si>
    <t>Faltas</t>
  </si>
  <si>
    <t>Situação</t>
  </si>
  <si>
    <t>Rickelmy</t>
  </si>
  <si>
    <t xml:space="preserve">Neymar </t>
  </si>
  <si>
    <t>Messi</t>
  </si>
  <si>
    <t>Alexandre</t>
  </si>
  <si>
    <t>Calleri</t>
  </si>
  <si>
    <t>Luciano</t>
  </si>
  <si>
    <t>Feitosa Malafaia</t>
  </si>
  <si>
    <t>Maior nota da turma</t>
  </si>
  <si>
    <t>Menor nota da turma</t>
  </si>
  <si>
    <t>Total de aprovados</t>
  </si>
  <si>
    <t>média da maior nota, média da menor nota, total de aprovados</t>
  </si>
  <si>
    <t>Digite o RM do Aluno:</t>
  </si>
  <si>
    <t>Nome encontrado:</t>
  </si>
  <si>
    <t>Darcio</t>
  </si>
  <si>
    <t>Cláudio</t>
  </si>
  <si>
    <t>Corrêa</t>
  </si>
  <si>
    <t>de Araújo</t>
  </si>
  <si>
    <t>Machado</t>
  </si>
  <si>
    <t>Menezes</t>
  </si>
  <si>
    <t>Cordeiro</t>
  </si>
  <si>
    <t>de Paula</t>
  </si>
  <si>
    <t>da Cunha</t>
  </si>
  <si>
    <t>Ronaldo</t>
  </si>
  <si>
    <t>Nazário</t>
  </si>
  <si>
    <t>Edson</t>
  </si>
  <si>
    <t>Arantes</t>
  </si>
  <si>
    <t>Raí</t>
  </si>
  <si>
    <t>Souza</t>
  </si>
  <si>
    <t>Jair</t>
  </si>
  <si>
    <t>Ventura</t>
  </si>
  <si>
    <t>Manoel </t>
  </si>
  <si>
    <t>dos Santos</t>
  </si>
  <si>
    <t>Elza</t>
  </si>
  <si>
    <t>Soares</t>
  </si>
  <si>
    <t>Marília</t>
  </si>
  <si>
    <t>Mendonça</t>
  </si>
  <si>
    <t>Sade</t>
  </si>
  <si>
    <t>Folasade</t>
  </si>
  <si>
    <t>Kanye</t>
  </si>
  <si>
    <t>West</t>
  </si>
  <si>
    <t>Matuê</t>
  </si>
  <si>
    <t>Aguiar</t>
  </si>
  <si>
    <t>Milena</t>
  </si>
  <si>
    <t>Pinto</t>
  </si>
  <si>
    <t>Abebe  Bikila</t>
  </si>
  <si>
    <t>Costa</t>
  </si>
  <si>
    <t>Minhas Compras na Bienal do Livro 2026 - Rickelmy Feitosa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</si>
</sst>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F1111"/>
      <name val="Calibri"/>
      <family val="2"/>
      <scheme val="minor"/>
    </font>
    <font>
      <sz val="12"/>
      <color rgb="FF0F1111"/>
      <name val="Calibri 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top"/>
    </xf>
    <xf numFmtId="0" fontId="0" fillId="0" borderId="0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4" fontId="0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44" fontId="2" fillId="0" borderId="0" xfId="1" applyFont="1" applyAlignment="1">
      <alignment horizontal="left" vertical="center"/>
    </xf>
    <xf numFmtId="0" fontId="0" fillId="3" borderId="0" xfId="0" applyFont="1" applyFill="1" applyBorder="1" applyAlignment="1">
      <alignment horizontal="left" vertical="center"/>
    </xf>
    <xf numFmtId="0" fontId="3" fillId="0" borderId="1" xfId="0" applyFont="1" applyBorder="1"/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1" fontId="5" fillId="0" borderId="3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44" fontId="2" fillId="0" borderId="8" xfId="0" applyNumberFormat="1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4" borderId="0" xfId="0" applyFill="1"/>
    <xf numFmtId="0" fontId="2" fillId="4" borderId="0" xfId="0" applyFont="1" applyFill="1"/>
    <xf numFmtId="0" fontId="0" fillId="0" borderId="0" xfId="0" applyAlignment="1">
      <alignment horizontal="center"/>
    </xf>
    <xf numFmtId="0" fontId="7" fillId="4" borderId="0" xfId="0" applyFont="1" applyFill="1"/>
    <xf numFmtId="0" fontId="2" fillId="4" borderId="0" xfId="0" applyFont="1" applyFill="1" applyAlignment="1">
      <alignment horizontal="center"/>
    </xf>
    <xf numFmtId="0" fontId="8" fillId="2" borderId="1" xfId="0" applyFont="1" applyFill="1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3" borderId="4" xfId="0" applyFont="1" applyFill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/>
    <xf numFmtId="0" fontId="0" fillId="0" borderId="0" xfId="0" applyFont="1"/>
  </cellXfs>
  <cellStyles count="2">
    <cellStyle name="Moeda" xfId="1" builtinId="4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811AF-CCC7-456B-965C-3799EE936A7B}" name="Tabela1" displayName="Tabela1" ref="A3:E8" totalsRowShown="0" headerRowDxfId="0" headerRowBorderDxfId="4" tableBorderDxfId="5" totalsRowBorderDxfId="3">
  <autoFilter ref="A3:E8" xr:uid="{E98811AF-CCC7-456B-965C-3799EE936A7B}"/>
  <tableColumns count="5">
    <tableColumn id="1" xr3:uid="{0ED49D3F-F8F3-4132-A69B-959AD23103B8}" name="Nome do Livro"/>
    <tableColumn id="2" xr3:uid="{EFD5323C-5306-4241-9AB1-149E067CEFA7}" name="Editora"/>
    <tableColumn id="3" xr3:uid="{9C3798AC-F7C2-4488-BC77-08210C7130CC}" name="Gênero "/>
    <tableColumn id="4" xr3:uid="{539CDBCC-0181-49BD-82EF-5D17BFC60788}" name="Preço Pago" dataDxfId="2" dataCellStyle="Moeda"/>
    <tableColumn id="5" xr3:uid="{70A69761-DF62-480E-B1D4-237252E0EBD3}" name="Nota Esperada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BD39623-BF18-43BE-872D-C7F6C4390D14}">
  <we:reference id="wa200010215" version="2.0.0.0" store="pt-BR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A58CBE2-16AA-474A-A22B-EB291578DE30}">
  <we:reference id="wa104380862" version="3.0.0.0" store="pt-BR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3381-9FC4-40C3-8545-DC649026AE9B}">
  <dimension ref="A1:AA17"/>
  <sheetViews>
    <sheetView tabSelected="1" workbookViewId="0">
      <selection activeCell="A2" sqref="A2"/>
    </sheetView>
  </sheetViews>
  <sheetFormatPr defaultRowHeight="15"/>
  <cols>
    <col min="1" max="2" width="17.85546875" customWidth="1"/>
    <col min="3" max="3" width="15.5703125" customWidth="1"/>
    <col min="4" max="4" width="12.85546875" customWidth="1"/>
    <col min="5" max="5" width="15.85546875" customWidth="1"/>
    <col min="6" max="6" width="13.5703125" customWidth="1"/>
    <col min="7" max="7" width="11.140625" customWidth="1"/>
    <col min="15" max="15" width="16.42578125" bestFit="1" customWidth="1"/>
  </cols>
  <sheetData>
    <row r="1" spans="1:27" s="1" customFormat="1" ht="33" customHeight="1">
      <c r="A1" s="4" t="s">
        <v>69</v>
      </c>
      <c r="B1" s="4"/>
      <c r="C1" s="4"/>
      <c r="D1" s="4"/>
      <c r="E1" s="4"/>
      <c r="F1" s="3"/>
      <c r="G1" s="3"/>
      <c r="H1" s="3"/>
      <c r="I1" s="3"/>
      <c r="J1" s="3"/>
      <c r="K1" s="3"/>
      <c r="L1"/>
      <c r="M1"/>
      <c r="N1"/>
      <c r="O1"/>
      <c r="P1"/>
      <c r="Q1"/>
      <c r="R1"/>
      <c r="S1"/>
      <c r="T1"/>
      <c r="U1"/>
    </row>
    <row r="2" spans="1:27" s="1" customFormat="1" ht="19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/>
      <c r="M2"/>
      <c r="N2"/>
      <c r="O2"/>
      <c r="P2"/>
      <c r="Q2"/>
      <c r="R2"/>
      <c r="S2"/>
      <c r="T2"/>
      <c r="U2"/>
    </row>
    <row r="3" spans="1:27" s="1" customFormat="1" ht="21.75" customHeight="1">
      <c r="A3" s="19" t="s">
        <v>4</v>
      </c>
      <c r="B3" s="20" t="s">
        <v>9</v>
      </c>
      <c r="C3" s="20" t="s">
        <v>0</v>
      </c>
      <c r="D3" s="20" t="s">
        <v>1</v>
      </c>
      <c r="E3" s="21" t="s">
        <v>2</v>
      </c>
      <c r="F3" s="3"/>
      <c r="G3" s="13"/>
      <c r="H3" s="3"/>
      <c r="I3" s="3"/>
      <c r="J3" s="3"/>
      <c r="K3"/>
      <c r="L3"/>
      <c r="M3"/>
      <c r="N3"/>
      <c r="O3"/>
      <c r="P3"/>
      <c r="Q3"/>
      <c r="R3"/>
      <c r="S3"/>
      <c r="T3"/>
    </row>
    <row r="4" spans="1:27" ht="63">
      <c r="A4" s="15" t="s">
        <v>3</v>
      </c>
      <c r="B4" s="5" t="s">
        <v>10</v>
      </c>
      <c r="C4" s="6" t="s">
        <v>12</v>
      </c>
      <c r="D4" s="7">
        <v>42.9</v>
      </c>
      <c r="E4" s="18">
        <v>5</v>
      </c>
      <c r="F4" s="3"/>
      <c r="G4" s="12"/>
      <c r="H4" s="3"/>
      <c r="I4" s="3"/>
      <c r="J4" s="3"/>
    </row>
    <row r="5" spans="1:27" ht="34.5" customHeight="1">
      <c r="A5" s="16" t="s">
        <v>5</v>
      </c>
      <c r="B5" s="14" t="s">
        <v>11</v>
      </c>
      <c r="C5" s="8" t="s">
        <v>6</v>
      </c>
      <c r="D5" s="7">
        <v>72</v>
      </c>
      <c r="E5" s="18">
        <v>5</v>
      </c>
      <c r="F5" s="3"/>
      <c r="G5" s="3"/>
      <c r="H5" s="3"/>
      <c r="I5" s="3"/>
      <c r="J5" s="3"/>
      <c r="K5" s="3"/>
      <c r="V5" s="2"/>
      <c r="W5" s="2"/>
      <c r="X5" s="2"/>
      <c r="Y5" s="2"/>
      <c r="Z5" s="2"/>
      <c r="AA5" s="2"/>
    </row>
    <row r="6" spans="1:27" ht="31.5">
      <c r="A6" s="15" t="s">
        <v>7</v>
      </c>
      <c r="B6" s="5" t="s">
        <v>11</v>
      </c>
      <c r="C6" s="9" t="s">
        <v>6</v>
      </c>
      <c r="D6" s="7">
        <v>83.3</v>
      </c>
      <c r="E6" s="18">
        <v>5</v>
      </c>
      <c r="F6" s="3"/>
      <c r="G6" s="3"/>
      <c r="H6" s="3"/>
      <c r="I6" s="3"/>
      <c r="J6" s="3"/>
      <c r="K6" s="3"/>
      <c r="V6" s="2"/>
      <c r="W6" s="2"/>
      <c r="X6" s="2"/>
      <c r="Y6" s="2"/>
      <c r="Z6" s="2"/>
      <c r="AA6" s="2"/>
    </row>
    <row r="7" spans="1:27" ht="23.25">
      <c r="A7" s="17" t="s">
        <v>8</v>
      </c>
      <c r="B7" s="10" t="s">
        <v>10</v>
      </c>
      <c r="C7" s="11" t="s">
        <v>12</v>
      </c>
      <c r="D7" s="7">
        <v>44.9</v>
      </c>
      <c r="E7" s="18">
        <v>5</v>
      </c>
      <c r="F7" s="3"/>
      <c r="G7" s="3"/>
      <c r="H7" s="3"/>
      <c r="I7" s="3"/>
      <c r="J7" s="3"/>
      <c r="K7" s="3"/>
      <c r="V7" s="2"/>
      <c r="W7" s="2"/>
      <c r="X7" s="2"/>
      <c r="Y7" s="2"/>
      <c r="Z7" s="2"/>
      <c r="AA7" s="2"/>
    </row>
    <row r="8" spans="1:27" ht="20.25" customHeight="1">
      <c r="A8" s="22" t="s">
        <v>13</v>
      </c>
      <c r="B8" s="23"/>
      <c r="C8" s="23"/>
      <c r="D8" s="24">
        <f>SUM(D4:D7)</f>
        <v>243.1</v>
      </c>
      <c r="E8" s="25"/>
      <c r="F8" s="3"/>
      <c r="G8" s="3"/>
      <c r="H8" s="3"/>
      <c r="I8" s="3"/>
      <c r="J8" s="3"/>
      <c r="K8" s="3"/>
      <c r="V8" s="2"/>
      <c r="W8" s="2"/>
      <c r="X8" s="2"/>
      <c r="Y8" s="2"/>
      <c r="Z8" s="2"/>
      <c r="AA8" s="2"/>
    </row>
    <row r="9" spans="1:2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V9" s="2"/>
      <c r="W9" s="2"/>
      <c r="X9" s="2"/>
      <c r="Y9" s="2"/>
      <c r="Z9" s="2"/>
      <c r="AA9" s="2"/>
    </row>
    <row r="10" spans="1:2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V10" s="2"/>
      <c r="W10" s="2"/>
      <c r="X10" s="2"/>
      <c r="Y10" s="2"/>
      <c r="Z10" s="2"/>
      <c r="AA10" s="2"/>
    </row>
    <row r="11" spans="1:2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V11" s="2"/>
      <c r="W11" s="2"/>
      <c r="X11" s="2"/>
      <c r="Y11" s="2"/>
      <c r="Z11" s="2"/>
      <c r="AA11" s="2"/>
    </row>
    <row r="12" spans="1:2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V12" s="2"/>
      <c r="W12" s="2"/>
      <c r="X12" s="2"/>
      <c r="Y12" s="2"/>
      <c r="Z12" s="2"/>
      <c r="AA12" s="2"/>
    </row>
    <row r="13" spans="1:2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V13" s="2"/>
      <c r="W13" s="2"/>
      <c r="X13" s="2"/>
      <c r="Y13" s="2"/>
      <c r="Z13" s="2"/>
      <c r="AA13" s="2"/>
    </row>
    <row r="14" spans="1:2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V14" s="2"/>
      <c r="W14" s="2"/>
      <c r="X14" s="2"/>
      <c r="Y14" s="2"/>
      <c r="Z14" s="2"/>
      <c r="AA14" s="2"/>
    </row>
    <row r="15" spans="1:2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2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</sheetData>
  <mergeCells count="1">
    <mergeCell ref="A1:E1"/>
  </mergeCells>
  <conditionalFormatting sqref="E4:E8">
    <cfRule type="cellIs" dxfId="6" priority="1" operator="equal">
      <formula>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4FD6-B18D-4E00-91DE-C03F08020844}">
  <dimension ref="A1:M24"/>
  <sheetViews>
    <sheetView workbookViewId="0">
      <selection activeCell="E27" sqref="E27"/>
    </sheetView>
  </sheetViews>
  <sheetFormatPr defaultRowHeight="15"/>
  <cols>
    <col min="2" max="2" width="14.140625" customWidth="1"/>
    <col min="3" max="3" width="22.7109375" customWidth="1"/>
    <col min="4" max="4" width="24.85546875" customWidth="1"/>
    <col min="5" max="5" width="14" customWidth="1"/>
    <col min="6" max="6" width="11.85546875" customWidth="1"/>
    <col min="7" max="7" width="18.7109375" customWidth="1"/>
    <col min="8" max="8" width="28.28515625" customWidth="1"/>
    <col min="9" max="9" width="13.7109375" customWidth="1"/>
    <col min="10" max="10" width="27.42578125" customWidth="1"/>
    <col min="11" max="11" width="29.42578125" customWidth="1"/>
    <col min="12" max="12" width="22.7109375" customWidth="1"/>
    <col min="13" max="13" width="22" customWidth="1"/>
  </cols>
  <sheetData>
    <row r="1" spans="1:13" ht="49.5" customHeight="1">
      <c r="A1" s="32" t="s">
        <v>14</v>
      </c>
      <c r="B1" s="32" t="s">
        <v>16</v>
      </c>
      <c r="C1" s="32" t="s">
        <v>15</v>
      </c>
      <c r="D1" s="32" t="s">
        <v>17</v>
      </c>
      <c r="E1" s="33" t="s">
        <v>18</v>
      </c>
      <c r="F1" s="33" t="s">
        <v>19</v>
      </c>
      <c r="G1" s="32" t="s">
        <v>20</v>
      </c>
      <c r="H1" s="32" t="s">
        <v>21</v>
      </c>
      <c r="I1" s="32" t="s">
        <v>22</v>
      </c>
      <c r="J1" s="34" t="s">
        <v>33</v>
      </c>
      <c r="K1" s="31" t="s">
        <v>30</v>
      </c>
      <c r="L1" s="31" t="s">
        <v>31</v>
      </c>
      <c r="M1" s="31" t="s">
        <v>32</v>
      </c>
    </row>
    <row r="2" spans="1:13">
      <c r="A2" s="39">
        <v>101</v>
      </c>
      <c r="B2" s="40" t="s">
        <v>23</v>
      </c>
      <c r="C2" s="40" t="s">
        <v>29</v>
      </c>
      <c r="D2" s="40" t="str" cm="1">
        <f t="array" ref="D2:D21">CONCATENATE(B2:B21," ",C2:C21)</f>
        <v>Rickelmy Feitosa Malafaia</v>
      </c>
      <c r="E2" s="41">
        <v>9</v>
      </c>
      <c r="F2" s="41">
        <v>8</v>
      </c>
      <c r="G2" s="41">
        <f>AVERAGE(E2:F2)</f>
        <v>8.5</v>
      </c>
      <c r="H2" s="42"/>
      <c r="I2" s="40" t="str">
        <f>IF(G2&gt;=6, "Aprovado", "Reprovado")</f>
        <v>Aprovado</v>
      </c>
      <c r="K2" s="28">
        <f>MAX(G2:G21)</f>
        <v>9</v>
      </c>
      <c r="L2" s="28">
        <f>MIN(G2:G21)</f>
        <v>6</v>
      </c>
      <c r="M2" s="28">
        <f>COUNTIF(I2:I21, "Aprovado")</f>
        <v>20</v>
      </c>
    </row>
    <row r="3" spans="1:13" ht="15.75">
      <c r="A3" s="39">
        <v>102</v>
      </c>
      <c r="B3" s="40" t="s">
        <v>24</v>
      </c>
      <c r="C3" s="40" t="s">
        <v>38</v>
      </c>
      <c r="D3" s="40" t="str">
        <v>Neymar  Corrêa</v>
      </c>
      <c r="E3" s="41">
        <v>9</v>
      </c>
      <c r="F3" s="41">
        <v>5</v>
      </c>
      <c r="G3" s="41">
        <f>AVERAGE(E3:F3)</f>
        <v>7</v>
      </c>
      <c r="H3" s="42"/>
      <c r="I3" s="40" t="str">
        <f>IF(G3&gt;=6, "Aprovado", "Reprovado")</f>
        <v>Aprovado</v>
      </c>
      <c r="K3" s="36"/>
      <c r="L3" s="36"/>
      <c r="M3" s="35"/>
    </row>
    <row r="4" spans="1:13" ht="15.75">
      <c r="A4" s="39">
        <v>103</v>
      </c>
      <c r="B4" s="40" t="s">
        <v>25</v>
      </c>
      <c r="C4" s="40" t="s">
        <v>39</v>
      </c>
      <c r="D4" s="40" t="str">
        <v>Messi de Araújo</v>
      </c>
      <c r="E4" s="41">
        <v>5</v>
      </c>
      <c r="F4" s="41">
        <v>7</v>
      </c>
      <c r="G4" s="41">
        <f>AVERAGE(E4:F4)</f>
        <v>6</v>
      </c>
      <c r="H4" s="42"/>
      <c r="I4" s="40" t="str">
        <f>IF(G4&gt;=6, "Aprovado", "Reprovado")</f>
        <v>Aprovado</v>
      </c>
      <c r="K4" s="36"/>
      <c r="L4" s="36"/>
      <c r="M4" s="35"/>
    </row>
    <row r="5" spans="1:13" ht="15.75">
      <c r="A5" s="39">
        <v>104</v>
      </c>
      <c r="B5" s="40" t="s">
        <v>26</v>
      </c>
      <c r="C5" s="40" t="s">
        <v>40</v>
      </c>
      <c r="D5" s="40" t="str">
        <v>Alexandre Machado</v>
      </c>
      <c r="E5" s="41">
        <v>8</v>
      </c>
      <c r="F5" s="41">
        <v>6</v>
      </c>
      <c r="G5" s="41">
        <f>AVERAGE(E5:F5)</f>
        <v>7</v>
      </c>
      <c r="H5" s="42"/>
      <c r="I5" s="40" t="str">
        <f>IF(G5&gt;=6, "Aprovado", "Reprovado")</f>
        <v>Aprovado</v>
      </c>
      <c r="J5" s="38" t="s">
        <v>34</v>
      </c>
      <c r="K5" s="36">
        <v>120</v>
      </c>
      <c r="L5" s="36"/>
      <c r="M5" s="35"/>
    </row>
    <row r="6" spans="1:13" ht="15.75">
      <c r="A6" s="39">
        <v>105</v>
      </c>
      <c r="B6" s="40" t="s">
        <v>27</v>
      </c>
      <c r="C6" s="40" t="s">
        <v>41</v>
      </c>
      <c r="D6" s="40" t="str">
        <v>Calleri Menezes</v>
      </c>
      <c r="E6" s="41">
        <v>9</v>
      </c>
      <c r="F6" s="41">
        <v>8</v>
      </c>
      <c r="G6" s="41">
        <f>AVERAGE(E6:F6)</f>
        <v>8.5</v>
      </c>
      <c r="H6" s="42"/>
      <c r="I6" s="40" t="str">
        <f>IF(G6&gt;=6, "Aprovado", "Reprovado")</f>
        <v>Aprovado</v>
      </c>
      <c r="J6" s="38" t="s">
        <v>35</v>
      </c>
      <c r="K6" s="37" t="str">
        <f>VLOOKUP(K5,A2:I21,4,FALSE)</f>
        <v>Abebe  Bikila Costa</v>
      </c>
      <c r="L6" s="36"/>
      <c r="M6" s="35"/>
    </row>
    <row r="7" spans="1:13" ht="15.75">
      <c r="A7" s="39">
        <v>106</v>
      </c>
      <c r="B7" s="40" t="s">
        <v>28</v>
      </c>
      <c r="C7" s="40" t="s">
        <v>42</v>
      </c>
      <c r="D7" s="40" t="str">
        <v>Luciano Cordeiro</v>
      </c>
      <c r="E7" s="41">
        <v>6</v>
      </c>
      <c r="F7" s="41">
        <v>7</v>
      </c>
      <c r="G7" s="41">
        <f>AVERAGE(E7:F7)</f>
        <v>6.5</v>
      </c>
      <c r="H7" s="42"/>
      <c r="I7" s="40" t="str">
        <f>IF(G7&gt;=6, "Aprovado", "Reprovado")</f>
        <v>Aprovado</v>
      </c>
      <c r="K7" s="36"/>
      <c r="L7" s="36"/>
      <c r="M7" s="35"/>
    </row>
    <row r="8" spans="1:13" ht="15.75">
      <c r="A8" s="39">
        <v>107</v>
      </c>
      <c r="B8" s="40" t="s">
        <v>36</v>
      </c>
      <c r="C8" s="40" t="s">
        <v>43</v>
      </c>
      <c r="D8" s="40" t="str">
        <v>Darcio de Paula</v>
      </c>
      <c r="E8" s="41">
        <v>7</v>
      </c>
      <c r="F8" s="41">
        <v>9</v>
      </c>
      <c r="G8" s="41">
        <f>AVERAGE(E8:F8)</f>
        <v>8</v>
      </c>
      <c r="H8" s="42"/>
      <c r="I8" s="40" t="str">
        <f>IF(G8&gt;=6, "Aprovado", "Reprovado")</f>
        <v>Aprovado</v>
      </c>
      <c r="K8" s="36"/>
      <c r="L8" s="36"/>
      <c r="M8" s="35"/>
    </row>
    <row r="9" spans="1:13" ht="15.75">
      <c r="A9" s="39">
        <v>108</v>
      </c>
      <c r="B9" s="40" t="s">
        <v>37</v>
      </c>
      <c r="C9" s="40" t="s">
        <v>44</v>
      </c>
      <c r="D9" s="40" t="str">
        <v>Cláudio da Cunha</v>
      </c>
      <c r="E9" s="41">
        <v>4</v>
      </c>
      <c r="F9" s="41">
        <v>10</v>
      </c>
      <c r="G9" s="41">
        <f>AVERAGE(E9:F9)</f>
        <v>7</v>
      </c>
      <c r="H9" s="42"/>
      <c r="I9" s="40" t="str">
        <f>IF(G9&gt;=6, "Aprovado", "Reprovado")</f>
        <v>Aprovado</v>
      </c>
      <c r="K9" s="36"/>
      <c r="L9" s="36"/>
      <c r="M9" s="35"/>
    </row>
    <row r="10" spans="1:13" ht="15.75">
      <c r="A10" s="39">
        <v>109</v>
      </c>
      <c r="B10" s="40" t="s">
        <v>45</v>
      </c>
      <c r="C10" s="40" t="s">
        <v>46</v>
      </c>
      <c r="D10" s="40" t="str">
        <v>Ronaldo Nazário</v>
      </c>
      <c r="E10" s="41">
        <v>9</v>
      </c>
      <c r="F10" s="41">
        <v>9</v>
      </c>
      <c r="G10" s="41">
        <f>AVERAGE(E10:F10)</f>
        <v>9</v>
      </c>
      <c r="H10" s="42"/>
      <c r="I10" s="40" t="str">
        <f>IF(G10&gt;=6, "Aprovado", "Reprovado")</f>
        <v>Aprovado</v>
      </c>
      <c r="K10" s="36"/>
      <c r="L10" s="36"/>
      <c r="M10" s="35"/>
    </row>
    <row r="11" spans="1:13" ht="15.75">
      <c r="A11" s="39">
        <v>110</v>
      </c>
      <c r="B11" s="40" t="s">
        <v>47</v>
      </c>
      <c r="C11" s="40" t="s">
        <v>48</v>
      </c>
      <c r="D11" s="40" t="str">
        <v>Edson Arantes</v>
      </c>
      <c r="E11" s="41">
        <v>7</v>
      </c>
      <c r="F11" s="41">
        <v>8</v>
      </c>
      <c r="G11" s="41">
        <f>AVERAGE(E11:F11)</f>
        <v>7.5</v>
      </c>
      <c r="H11" s="42"/>
      <c r="I11" s="40" t="str">
        <f>IF(G11&gt;=6, "Aprovado", "Reprovado")</f>
        <v>Aprovado</v>
      </c>
      <c r="K11" s="36"/>
      <c r="L11" s="36"/>
      <c r="M11" s="35"/>
    </row>
    <row r="12" spans="1:13" ht="15.75">
      <c r="A12" s="39">
        <v>111</v>
      </c>
      <c r="B12" s="40" t="s">
        <v>49</v>
      </c>
      <c r="C12" s="40" t="s">
        <v>50</v>
      </c>
      <c r="D12" s="40" t="str">
        <v>Raí Souza</v>
      </c>
      <c r="E12" s="41">
        <v>8</v>
      </c>
      <c r="F12" s="41">
        <v>6</v>
      </c>
      <c r="G12" s="41">
        <f>AVERAGE(E12:F12)</f>
        <v>7</v>
      </c>
      <c r="H12" s="42"/>
      <c r="I12" s="40" t="str">
        <f>IF(G12&gt;=6, "Aprovado", "Reprovado")</f>
        <v>Aprovado</v>
      </c>
      <c r="K12" s="36"/>
      <c r="L12" s="36"/>
      <c r="M12" s="35"/>
    </row>
    <row r="13" spans="1:13" ht="15.75">
      <c r="A13" s="39">
        <v>112</v>
      </c>
      <c r="B13" s="40" t="s">
        <v>51</v>
      </c>
      <c r="C13" s="40" t="s">
        <v>52</v>
      </c>
      <c r="D13" s="40" t="str">
        <v>Jair Ventura</v>
      </c>
      <c r="E13" s="41">
        <v>8</v>
      </c>
      <c r="F13" s="41">
        <v>8</v>
      </c>
      <c r="G13" s="41">
        <f>AVERAGE(E13:F13)</f>
        <v>8</v>
      </c>
      <c r="H13" s="42"/>
      <c r="I13" s="40" t="str">
        <f>IF(G13&gt;=6, "Aprovado", "Reprovado")</f>
        <v>Aprovado</v>
      </c>
      <c r="K13" s="36"/>
      <c r="L13" s="36"/>
      <c r="M13" s="35"/>
    </row>
    <row r="14" spans="1:13" ht="15.75">
      <c r="A14" s="39">
        <v>113</v>
      </c>
      <c r="B14" s="43" t="s">
        <v>53</v>
      </c>
      <c r="C14" s="40" t="s">
        <v>54</v>
      </c>
      <c r="D14" s="40" t="str">
        <v>Manoel  dos Santos</v>
      </c>
      <c r="E14" s="41">
        <v>9</v>
      </c>
      <c r="F14" s="41">
        <v>6</v>
      </c>
      <c r="G14" s="41">
        <f>AVERAGE(E14:F14)</f>
        <v>7.5</v>
      </c>
      <c r="H14" s="42"/>
      <c r="I14" s="40" t="str">
        <f>IF(G14&gt;=6, "Aprovado", "Reprovado")</f>
        <v>Aprovado</v>
      </c>
      <c r="K14" s="36"/>
      <c r="L14" s="36"/>
      <c r="M14" s="35"/>
    </row>
    <row r="15" spans="1:13" ht="15.75">
      <c r="A15" s="39">
        <v>114</v>
      </c>
      <c r="B15" s="40" t="s">
        <v>55</v>
      </c>
      <c r="C15" s="40" t="s">
        <v>56</v>
      </c>
      <c r="D15" s="40" t="str">
        <v>Elza Soares</v>
      </c>
      <c r="E15" s="41">
        <v>7</v>
      </c>
      <c r="F15" s="41">
        <v>6</v>
      </c>
      <c r="G15" s="41">
        <f>AVERAGE(E15:F15)</f>
        <v>6.5</v>
      </c>
      <c r="H15" s="42"/>
      <c r="I15" s="40" t="str">
        <f>IF(G15&gt;=6, "Aprovado", "Reprovado")</f>
        <v>Aprovado</v>
      </c>
      <c r="K15" s="36"/>
      <c r="L15" s="36"/>
      <c r="M15" s="35"/>
    </row>
    <row r="16" spans="1:13" ht="15.75">
      <c r="A16" s="39">
        <v>115</v>
      </c>
      <c r="B16" s="40" t="s">
        <v>57</v>
      </c>
      <c r="C16" s="40" t="s">
        <v>58</v>
      </c>
      <c r="D16" s="40" t="str">
        <v>Marília Mendonça</v>
      </c>
      <c r="E16" s="41">
        <v>8</v>
      </c>
      <c r="F16" s="41">
        <v>7</v>
      </c>
      <c r="G16" s="41">
        <f>AVERAGE(E16:F16)</f>
        <v>7.5</v>
      </c>
      <c r="H16" s="42"/>
      <c r="I16" s="40" t="str">
        <f>IF(G16&gt;=6, "Aprovado", "Reprovado")</f>
        <v>Aprovado</v>
      </c>
      <c r="K16" s="36"/>
      <c r="L16" s="36"/>
      <c r="M16" s="35"/>
    </row>
    <row r="17" spans="1:13" ht="15.75">
      <c r="A17" s="39">
        <v>116</v>
      </c>
      <c r="B17" s="40" t="s">
        <v>59</v>
      </c>
      <c r="C17" s="40" t="s">
        <v>60</v>
      </c>
      <c r="D17" s="40" t="str">
        <v>Sade Folasade</v>
      </c>
      <c r="E17" s="41">
        <v>7</v>
      </c>
      <c r="F17" s="41">
        <v>8</v>
      </c>
      <c r="G17" s="41">
        <f>AVERAGE(E17:F17)</f>
        <v>7.5</v>
      </c>
      <c r="H17" s="42"/>
      <c r="I17" s="40" t="str">
        <f>IF(G17&gt;=6, "Aprovado", "Reprovado")</f>
        <v>Aprovado</v>
      </c>
      <c r="K17" s="36"/>
      <c r="L17" s="36"/>
      <c r="M17" s="35"/>
    </row>
    <row r="18" spans="1:13" ht="15.75">
      <c r="A18" s="39">
        <v>117</v>
      </c>
      <c r="B18" s="40" t="s">
        <v>61</v>
      </c>
      <c r="C18" s="40" t="s">
        <v>62</v>
      </c>
      <c r="D18" s="40" t="str">
        <v>Kanye West</v>
      </c>
      <c r="E18" s="41">
        <v>7</v>
      </c>
      <c r="F18" s="41">
        <v>9</v>
      </c>
      <c r="G18" s="41">
        <f>AVERAGE(E18:F18)</f>
        <v>8</v>
      </c>
      <c r="H18" s="42"/>
      <c r="I18" s="40" t="str">
        <f>IF(G18&gt;=6, "Aprovado", "Reprovado")</f>
        <v>Aprovado</v>
      </c>
      <c r="K18" s="36"/>
      <c r="L18" s="36"/>
      <c r="M18" s="35"/>
    </row>
    <row r="19" spans="1:13" ht="15.75">
      <c r="A19" s="39">
        <v>118</v>
      </c>
      <c r="B19" s="40" t="s">
        <v>63</v>
      </c>
      <c r="C19" s="40" t="s">
        <v>64</v>
      </c>
      <c r="D19" s="40" t="str">
        <v>Matuê Aguiar</v>
      </c>
      <c r="E19" s="41">
        <v>8</v>
      </c>
      <c r="F19" s="41">
        <v>7</v>
      </c>
      <c r="G19" s="41">
        <f>AVERAGE(E19:F19)</f>
        <v>7.5</v>
      </c>
      <c r="H19" s="42"/>
      <c r="I19" s="40" t="str">
        <f>IF(G19&gt;=6, "Aprovado", "Reprovado")</f>
        <v>Aprovado</v>
      </c>
      <c r="K19" s="36"/>
      <c r="L19" s="36"/>
      <c r="M19" s="35"/>
    </row>
    <row r="20" spans="1:13" ht="15.75">
      <c r="A20" s="39">
        <v>119</v>
      </c>
      <c r="B20" s="40" t="s">
        <v>65</v>
      </c>
      <c r="C20" s="40" t="s">
        <v>66</v>
      </c>
      <c r="D20" s="40" t="str">
        <v>Milena Pinto</v>
      </c>
      <c r="E20" s="41">
        <v>5</v>
      </c>
      <c r="F20" s="41">
        <v>7</v>
      </c>
      <c r="G20" s="41">
        <f>AVERAGE(E20:F20)</f>
        <v>6</v>
      </c>
      <c r="H20" s="42"/>
      <c r="I20" s="40" t="str">
        <f>IF(G20&gt;=6, "Aprovado", "Reprovado")</f>
        <v>Aprovado</v>
      </c>
      <c r="K20" s="36"/>
      <c r="L20" s="36"/>
      <c r="M20" s="35"/>
    </row>
    <row r="21" spans="1:13" ht="15.75">
      <c r="A21" s="39">
        <v>120</v>
      </c>
      <c r="B21" s="40" t="s">
        <v>67</v>
      </c>
      <c r="C21" s="43" t="s">
        <v>68</v>
      </c>
      <c r="D21" s="40" t="str">
        <v>Abebe  Bikila Costa</v>
      </c>
      <c r="E21" s="41">
        <v>7</v>
      </c>
      <c r="F21" s="41">
        <v>5</v>
      </c>
      <c r="G21" s="41">
        <f>AVERAGE(E21:F21)</f>
        <v>6</v>
      </c>
      <c r="H21" s="42"/>
      <c r="I21" s="40" t="str">
        <f>IF(G21&gt;=6, "Aprovado", "Reprovado")</f>
        <v>Aprovado</v>
      </c>
      <c r="K21" s="36"/>
      <c r="L21" s="36"/>
      <c r="M21" s="35"/>
    </row>
    <row r="22" spans="1:13" ht="15.75">
      <c r="A22" s="29" t="s">
        <v>13</v>
      </c>
      <c r="B22" s="26"/>
      <c r="C22" s="26"/>
      <c r="D22" s="26"/>
      <c r="E22" s="26"/>
      <c r="F22" s="26"/>
      <c r="G22" s="27"/>
      <c r="H22" s="30">
        <f>SUM(H2:H21)</f>
        <v>0</v>
      </c>
      <c r="I22" s="26"/>
      <c r="K22" s="35"/>
      <c r="L22" s="35"/>
      <c r="M22" s="35"/>
    </row>
    <row r="23" spans="1:13" ht="15.75">
      <c r="K23" s="35"/>
      <c r="L23" s="35"/>
      <c r="M23" s="35"/>
    </row>
    <row r="24" spans="1:13" ht="15.75">
      <c r="K24" s="35"/>
      <c r="L24" s="35"/>
      <c r="M24" s="3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06-Micro 10</dc:creator>
  <cp:lastModifiedBy>Camargo</cp:lastModifiedBy>
  <dcterms:created xsi:type="dcterms:W3CDTF">2026-09-15T10:29:07Z</dcterms:created>
  <dcterms:modified xsi:type="dcterms:W3CDTF">2026-09-18T12:59:15Z</dcterms:modified>
</cp:coreProperties>
</file>